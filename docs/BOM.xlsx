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1BACD707AD7AB7/Rover Project/"/>
    </mc:Choice>
  </mc:AlternateContent>
  <xr:revisionPtr revIDLastSave="306" documentId="8_{D550C3D6-0EC7-4883-BAB8-5F2C79782E0E}" xr6:coauthVersionLast="47" xr6:coauthVersionMax="47" xr10:uidLastSave="{CE66E939-432E-42DE-AD6D-92300CB571B2}"/>
  <bookViews>
    <workbookView xWindow="14175" yWindow="0" windowWidth="24330" windowHeight="21705" xr2:uid="{04E62584-7771-466F-885C-6D4CAB0C7EC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3" i="1" l="1"/>
</calcChain>
</file>

<file path=xl/sharedStrings.xml><?xml version="1.0" encoding="utf-8"?>
<sst xmlns="http://schemas.openxmlformats.org/spreadsheetml/2006/main" count="139" uniqueCount="73">
  <si>
    <t>Bill of Materials</t>
  </si>
  <si>
    <t>Rover Project</t>
  </si>
  <si>
    <t>Aidan Campbell</t>
  </si>
  <si>
    <t>Item</t>
  </si>
  <si>
    <t>Quantity</t>
  </si>
  <si>
    <t>Babsco</t>
  </si>
  <si>
    <t>Waveshare General Robotics Driver</t>
  </si>
  <si>
    <t>Amazon</t>
  </si>
  <si>
    <t>Notes</t>
  </si>
  <si>
    <t>12V DC Motor 100RPM</t>
  </si>
  <si>
    <t>Included with servo purchases</t>
  </si>
  <si>
    <t>ST32 Series Servo Horns</t>
  </si>
  <si>
    <t>ST32 Series Servo Bushings</t>
  </si>
  <si>
    <t>Source</t>
  </si>
  <si>
    <t>Feetech ST3215 12V</t>
  </si>
  <si>
    <t>Feetech ST3250 12V</t>
  </si>
  <si>
    <t>DFRobot</t>
  </si>
  <si>
    <t>Purchase Link</t>
  </si>
  <si>
    <t>M3 15mm Standoffs</t>
  </si>
  <si>
    <t>N/A</t>
  </si>
  <si>
    <t>ST32 Series Servo Wires</t>
  </si>
  <si>
    <t>M5 30mm Shoulder Screw</t>
  </si>
  <si>
    <t>11.1V 2200 mAh LiPo Battery</t>
  </si>
  <si>
    <t>XT60 Female Connector</t>
  </si>
  <si>
    <t>ST32 Series Screws</t>
  </si>
  <si>
    <t xml:space="preserve">M3 Nut </t>
  </si>
  <si>
    <t>M5x8mm Heat-Set Insert</t>
  </si>
  <si>
    <t>M3x6mm socket cap screws</t>
  </si>
  <si>
    <t>M3x8mm socket cap screws</t>
  </si>
  <si>
    <t>M3x16mm socket cap screws</t>
  </si>
  <si>
    <t>M3x12mm socket cap screws</t>
  </si>
  <si>
    <t>Fgruh M3 Kit</t>
  </si>
  <si>
    <t>Babsco ST3250</t>
  </si>
  <si>
    <t>DFRobot ST3215</t>
  </si>
  <si>
    <t>Unit Price($)</t>
  </si>
  <si>
    <t>Total Price($)</t>
  </si>
  <si>
    <t>Total Price:</t>
  </si>
  <si>
    <t>Waveshare Board</t>
  </si>
  <si>
    <t>12V DC Motor</t>
  </si>
  <si>
    <t>Ovonic 11.1V LiPo</t>
  </si>
  <si>
    <t>Fermerry wire kit</t>
  </si>
  <si>
    <t>22 AWG Assorted Stranded Wires</t>
  </si>
  <si>
    <t>M3 750 piece kit. Only 1 required for all M3 screws needed.</t>
  </si>
  <si>
    <t>22 AWG x 2.8mm Female Spade Connector</t>
  </si>
  <si>
    <t>Baomian Connector Kit</t>
  </si>
  <si>
    <t>UXCell M5 Screws</t>
  </si>
  <si>
    <t>UXCell 606-2RS</t>
  </si>
  <si>
    <t>606-2RS 6x17x6mm Ball Bearing</t>
  </si>
  <si>
    <t>JST-PH  2.0 Connector</t>
  </si>
  <si>
    <t>Twisina JST PH</t>
  </si>
  <si>
    <t>JST-XH 2.54 Connector</t>
  </si>
  <si>
    <t>ZSDZFYLLK JST-XH</t>
  </si>
  <si>
    <t>Lagogia M3 Standoffs</t>
  </si>
  <si>
    <t>Ledavillage XT60</t>
  </si>
  <si>
    <t>Rindion Heat Shrink</t>
  </si>
  <si>
    <t>2.5 x 200mm Zip Ties</t>
  </si>
  <si>
    <t>HoAoOo Cable Ties</t>
  </si>
  <si>
    <t>Size #85 Rubber Bands</t>
  </si>
  <si>
    <t>HAIDIBAO Rubber Bands</t>
  </si>
  <si>
    <t>Heat Shrink Tubing 2.5x45 mm</t>
  </si>
  <si>
    <t>Any diameter 2-3mm and length 20-50mm could substitute</t>
  </si>
  <si>
    <t>Included in Fgruh M3 Kit</t>
  </si>
  <si>
    <t>M3x5mm Insert</t>
  </si>
  <si>
    <t>FFVRVSS Heat Inserts</t>
  </si>
  <si>
    <t>320+6pcs M2-M5 set. Only 1 required for all heat set inserts.</t>
  </si>
  <si>
    <t>Included in FFVRVSS Heat Insert Kit</t>
  </si>
  <si>
    <t>For enhanced tire grip if TPU lacks traction on slick surfaces</t>
  </si>
  <si>
    <t>PLA Filament 1.75mm white</t>
  </si>
  <si>
    <t>~1kg</t>
  </si>
  <si>
    <t>SUNLU PLA Filament</t>
  </si>
  <si>
    <t>90a TPU Filament 1.75mm black</t>
  </si>
  <si>
    <t>SUNLU TPU Filament</t>
  </si>
  <si>
    <t>240g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</si>
</sst>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EAEC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4" fillId="0" borderId="0" xfId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5" fillId="0" borderId="0" xfId="0" applyNumberFormat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Baomain-Insulated-Connector-Electrical-Terminal/dp/B01962MW2G/ref=sr_1_5?crid=2HFB4FML194AH&amp;dib=eyJ2IjoiMSJ9.1XSKtVFzXccJP4BTjDLa3BcVsT9clJUTPUqU2nrx0JtgsIRucNy3Fk__a_e6l_qQvYPaClq-dNuMJNlVSEkA7GuSqNdmXwegcELxtuvkAtOCgJb3UxNvrOXprWLH3Ll82hVSQ3F3dBTnm4KX5E89n8-gaZcjwQdssFhOx9-UZQ1dtt8S-WacMb3rHAZjHs9RZhwIflQLR_X4o5cyhpxdpXOkCYU34wtsh5OGPBStGmg.hdEzAYWdJMIQi5ApHwwUvxE8kfuimK2_Z1BIShPbpI8&amp;dib_tag=se&amp;keywords=22awg%2Bfemale%2Bspade%2Bconnector&amp;qid=1785364954&amp;sprefix=22awg%2Bfemale%2Bspade%2Bconecgor%2Caps%2C173&amp;sr=8-5&amp;th=1" TargetMode="External"/><Relationship Id="rId13" Type="http://schemas.openxmlformats.org/officeDocument/2006/relationships/hyperlink" Target="https://www.amazon.com/Female-Standoff-Quadcopter-Computer-Circuit/dp/B0BPCKHLT5/ref=sr_1_5?crid=39YV0BVLN6PNA&amp;dib=eyJ2IjoiMSJ9.tAoRUXpRPRRUQK7CK3FamoSIxAPiesZT2wHm0sDdXAj61eN5akiRv1e3Iec2dL0aBpmSYx4j2SgPzVSNQiZkxgTRk60Tu-ZvHsQHLpc_FPzUEF1lzmsKZR9S8LrrZoVERCqsd-RZSINhFtdM0UUroflGLiW8H0FYg-sRe-be3Mja3aWekTin30kgtyDTpOlWQOEQsPfo5iuv09eufwXHxuVay9yERCO19XnvdeAXAQQ.qvEBb_ps1uZl6i0EgtOsDUeQqhbD-9RgPXAafg_BDRw&amp;dib_tag=se&amp;keywords=m3%2B15mm%2Bstandoff&amp;qid=1785527356&amp;sprefix=m3%2B15mm%2Bstandoff%2Caps%2C155&amp;sr=8-5&amp;th=1" TargetMode="External"/><Relationship Id="rId18" Type="http://schemas.openxmlformats.org/officeDocument/2006/relationships/hyperlink" Target="https://www.amazon.com/Fgruh-750PCS-Assortment-Washers-Assorted/dp/B0FGV5FCBN/ref=sr_1_3?crid=1T35Y2VR466XA&amp;dib=eyJ2IjoiMSJ9.ANkbzHGwyRZOvBwczPtlHoEZmR4sPNlcjaf1Q7S2YKlID-Pec4fgRzu3QDz9tFYVdJAeVl0W07LYj8lmtZg9uIH-TZgqmIAtN_04_cGmQBr-YhVt90No1QDCUDchSXN7qtZ76viT1NwIDIjMWOGny4c4ExCG9cqseQNpE1Z9yix9V3w7hVy7D-0rSzPWDoifO0hX8oVWSkOzPpgEC_ZvRXXVNymsa9G2Khe4Y1s3YzA.JSQ_xvuj8hEbl3M9PObtKZ36TZ3caTDD-baC28WV1pE&amp;dib_tag=se&amp;keywords=m3%2Bscrew%2Bkit&amp;qid=1785363384&amp;sprefix=m3%2Bscrew%2Bkit%2Caps%2C172&amp;sr=8-3&amp;th=1" TargetMode="External"/><Relationship Id="rId3" Type="http://schemas.openxmlformats.org/officeDocument/2006/relationships/hyperlink" Target="https://www.dfrobot.com/product-2962.html" TargetMode="External"/><Relationship Id="rId21" Type="http://schemas.openxmlformats.org/officeDocument/2006/relationships/hyperlink" Target="https://www.amazon.com/Printer-Filament-SUNLU-Dimensional-Accuracy/dp/B07ZNHF46J/ref=sr_1_3?crid=3OM8W0WYN03KB&amp;dib=eyJ2IjoiMSJ9.whTAUgGoUlzM7anRnCeMzwcs7lDSevg_5d7mEfDE7mzSZjGFyyyFEjAHc15WdhW2PXvIpC0lLkCb-k8lodJUYiQGTxQq0prwSQ6YCsw7GCeAGGkNdjlNT8KxlwowmPUkvOeR-7XZQedHpP_m6UtHxB5cU_9-6EnWoRej8ARHwpnhanNXq4OTa6Yd6ByuoSQPHVKlrvsMOb6Zd_zuqhxHMNs-urakFrBTnhfcIPEOGz0.wopKLNrlrQLHwrMPNfSsWksFBsSohnXQiD2tdw9v1Ho&amp;dib_tag=se&amp;keywords=pla%2Bfilament&amp;qid=1785530981&amp;sprefix=pla%2Bfilamen%2Caps%2C258&amp;sr=8-3&amp;th=1" TargetMode="External"/><Relationship Id="rId7" Type="http://schemas.openxmlformats.org/officeDocument/2006/relationships/hyperlink" Target="https://www.amazon.com/Fermerry-Stranded-Electric-Tinned-Copper/dp/B089CQ2N69/ref=sr_1_3?crid=1NJHU00GWYK80&amp;dib=eyJ2IjoiMSJ9.fb4u5eWqd30SBzuWHTv1XHMQ3LzFo3ohLou3g9XyAsOD-LfzNrMgGTN1_6qiBCFXKwQoPClmelYVKNsjNGS9Y6-Tgi3-dwUKI_Ncf55V7aRB6YHblcacQXehP21w4LqDaljtXtrV5Ozmuj82jTG4bDvx-lc_PTEahznbZAq25g7c7M2FhcwrtmNcyn-3kRnEr6jGV0ErC-4niHdmtw-GIsvRbwhCpLSMY-_33lA2ziw.5sE2VtUlcgg7jhJNr_YqVrgivWnBxPxGaCE83k2LcM0&amp;dib_tag=se&amp;keywords=fermerry%2Bwire%2Bkit&amp;qid=1785364726&amp;sprefix=fermerry%2Bwire%2Bkit%2Caps%2C147&amp;sr=8-3&amp;th=1" TargetMode="External"/><Relationship Id="rId12" Type="http://schemas.openxmlformats.org/officeDocument/2006/relationships/hyperlink" Target="https://www.amazon.com/JST-XH-2-54mm-Connector-Silicone-Cables/dp/B0D6KSMK1Q/ref=sr_1_3?crid=2PNO0M598RA6C&amp;dib=eyJ2IjoiMSJ9.260Hy4q5areyExvrI16qI9coUa0YD70T0wJ9EndAIsNZjycvUVPROSQ3S98rDFHLnSD-GEP2REpz7YLRop9LA4-YE1kaTNaNyj1X0xcxZ6h7WWdBRn2cNcPAQ-wOuFBs6SS2J3pwIlkrwpb9TaNHKENsQ15m4K4zI1g3Gej7Js-nK8WCcEHLaWCtS0uIMBEFHvneVb5_DNA8Qozilw9f3pB5nHoj683bQKQ0REbb6sg.BXKNG930M5h6qkFHvwyt2Z0nGIY_skp0EEMcYug7IQI&amp;dib_tag=se&amp;keywords=jst+xh+2.54&amp;qid=1785527262&amp;sprefix=jst+xh+2%2Caps%2C139&amp;sr=8-3" TargetMode="External"/><Relationship Id="rId17" Type="http://schemas.openxmlformats.org/officeDocument/2006/relationships/hyperlink" Target="https://www.amazon.com/HAIDIBAO-Rubber-Assorted-Elastic-Survival-Tactical/dp/B0DNFGJYNZ/ref=sr_1_21?crid=167BOKQNV8FQX&amp;dib=eyJ2IjoiMSJ9.-KzWmLx9RsG6YuHrOsOso73zpyni9VBIaB4BxyF8CpfQwBDRCWMGnLeNhIO5LKTIdMLWGcBmh9NaWeZ6f5Hu60RJDYa8GktGyQNJSsBSEPc-hdn5HgksDHR3i856lY5hieNng0mOZ05ggh_R6gSrL4SIlZ2un6-sRneFobjaqh6WgSGlfuN2-o8tdPmN1Iujwbd3CUK3lbFJ2i7sWN1GAT9-BqezuB_FqjlBD9lHjZP60qwKDBLPxWhb4BnjL3DGoLlVgnuJW_Q-u3sJC528hHke1W8iNn_dnBz9wisPapk.2iYkkgIly5iKiJVRGi7NkEP63lUvFTFeXzlyozQRfIw&amp;dib_tag=se&amp;keywords=black+rubber+bands&amp;qid=1785529804&amp;sprefix=black+rubber+band%2Caps%2C189&amp;sr=8-21" TargetMode="External"/><Relationship Id="rId2" Type="http://schemas.openxmlformats.org/officeDocument/2006/relationships/hyperlink" Target="https://shop.babsco.com/feetech-sts3250-50kg-heavy-duty-smart-servo" TargetMode="External"/><Relationship Id="rId16" Type="http://schemas.openxmlformats.org/officeDocument/2006/relationships/hyperlink" Target="https://www.amazon.com/Nylon-Cable-inches-Heavy-2-5mm/dp/B0GR52PRHF/ref=sr_1_4?crid=1RCLDUC05RFTX&amp;dib=eyJ2IjoiMSJ9.yl6leVKX0W0pLX48KtFLUFn2LR8EIUrauNMSimlnH91RCC3J_MrP8rVmi0Joo_g98wcUa2YEzQ4mBiKNvJDpg7sARUaETihjGZaFCt4vBrxfPrvCClKRxkfCy3obYZvY0o-YNzwZSijHQxO0lOqSSx5A4ouNWxVZkb7iZ47XU8zek5KUFbhr4sfDvhDCjg6tNpTA2UBBSPyA7B0xVCgAnLPIQRPleop6dBAdysSo3N4.XV9JeVS_yXiaPGJHA49PYhUP4bXiB9_gznxF855Ui24&amp;dib_tag=se&amp;keywords=2.6x200mm+zip+ties&amp;qid=1785529710&amp;sprefix=2.6x200mm+zip+tie%2Caps%2C144&amp;sr=8-4" TargetMode="External"/><Relationship Id="rId20" Type="http://schemas.openxmlformats.org/officeDocument/2006/relationships/hyperlink" Target="https://www.amazon.com/M2-M2-5-M3-Threaded-Inserts/dp/B0FH4JQ3VB/ref=sr_1_4?crid=1348FM1PQFMJO&amp;dib=eyJ2IjoiMSJ9.2Qg9wG5pUbCP87FPpe42LtsnGYVJuCX_BUeZMDnlwUUe4JFf3hNcUBICkcJPGv6hgVSLJ0Uu025VmgG0pYlpMV99r8FzxCTY83F3WNo1JHE0yyzPy6Ug39mMUGqLc1k3lMsZlS4fr2ACfrnE2Z44NVnaRdI9ROJuLG0mU0Bips5xy4f2No7ndOzI8lX2VJ5ExVImRAaGtkkCAcvHQjq54zcY56x3ccpEpZR1rAvulzY._dCdVFmp1fzGgMvUBvgn5dB7j-tRP-IVwG3LbtB0bDw&amp;dib_tag=se&amp;keywords=heat%2Bset%2Binsert%2Bkit%2Bm3%2Bm5&amp;qid=1785530732&amp;sprefix=heat%2Bset%2Binsert%2Bkit%2Bm3%2Bm5%2Caps%2C218&amp;sr=8-4&amp;th=1" TargetMode="External"/><Relationship Id="rId1" Type="http://schemas.openxmlformats.org/officeDocument/2006/relationships/hyperlink" Target="https://www.amazon.com/Fgruh-750PCS-Assortment-Washers-Assorted/dp/B0FGV5FCBN/ref=sr_1_3?crid=1T35Y2VR466XA&amp;dib=eyJ2IjoiMSJ9.ANkbzHGwyRZOvBwczPtlHoEZmR4sPNlcjaf1Q7S2YKlID-Pec4fgRzu3QDz9tFYVdJAeVl0W07LYj8lmtZg9uIH-TZgqmIAtN_04_cGmQBr-YhVt90No1QDCUDchSXN7qtZ76viT1NwIDIjMWOGny4c4ExCG9cqseQNpE1Z9yix9V3w7hVy7D-0rSzPWDoifO0hX8oVWSkOzPpgEC_ZvRXXVNymsa9G2Khe4Y1s3YzA.JSQ_xvuj8hEbl3M9PObtKZ36TZ3caTDD-baC28WV1pE&amp;dib_tag=se&amp;keywords=m3%2Bscrew%2Bkit&amp;qid=1785363384&amp;sprefix=m3%2Bscrew%2Bkit%2Caps%2C172&amp;sr=8-3&amp;th=1" TargetMode="External"/><Relationship Id="rId6" Type="http://schemas.openxmlformats.org/officeDocument/2006/relationships/hyperlink" Target="https://www.amazon.com/2200mAh-Connector-Airplane-Quadcopter-Helicopter/dp/B08CZF373Y/ref=sr_1_11?crid=1PP7ODDTYOGMP&amp;dib=eyJ2IjoiMSJ9.iOSWr3M_JHZ9VR8sHd9bgMSiiGApRLvMbo2dmAuFNxfPYa1OoWudkSQXx3j8jNUBqY2dwpkGCyyO8FP7hpkrX7ZnI042PlRQuCzQDilbn9TVTeT5Kbf1NsoFfEKXwrrE9zeMqbBhVeqAwM3D4Ka9YYG7Jc9s-YPQlavun6GTr6pyFDddOGYnPGrEfcAsJtA_EChIi-WRp0FS-Zt9cRvERWU5VlRl8uhEzjkiJzKjXckz6XKlOZweCqsyDzCoiH3B3mr1841YgFYd0CxHaTjQKpnEAJ8eeo_Dm-sj07VuswI.gRa2c_E-S0ACev-dciJZ67Anf647mEQ9EKgyPAOQ0BI&amp;dib_tag=se&amp;keywords=11.1V%2B220mAH%2Blipo%2Bovonic&amp;qid=1785364581&amp;sprefix=11.1v%2B220mah%2Blipo%2Caps%2C148&amp;sr=8-11&amp;th=1" TargetMode="External"/><Relationship Id="rId11" Type="http://schemas.openxmlformats.org/officeDocument/2006/relationships/hyperlink" Target="https://www.amazon.com/Connector-Connectors-Female-Silicone-Cables/dp/B0GWYR7CQ2/ref=sr_1_10?crid=FK920U4NDRIE&amp;dib=eyJ2IjoiMSJ9.W9H6y49BWj_bHdkBEFBY5HDPzrekA2uL_r1SRT17HjB1G3ZqOei5FM8b-rbbPIaRyDPeuQtNgh8lj8gbrIgk2thMaqEUabxYYtcBtqcQx4DnqMeILQT3K6ho3OhPVxOobe9XXjumah00AFtWXRGRCfbgVtHhzKPfzjyQ81si_j2K5m6UKR9B2QBjVQ8POL9OGmhL31NYhj9rX9i8QTT7OB3TBzfQk56XOdIEicQHLS-I2OEQGlHMHmzOnIdVQaIEXJwSb7ofNY4akuAhvg1lxpaCEF9FaSANfhfWh-2BqeA.e0RGQDq7U5BXgudpxtwxE6_DyAwe6VVa6jpY6NyQxs0&amp;dib_tag=se&amp;keywords=jst+ph+2.0&amp;qid=1785527165&amp;sprefix=jst+ph%2Caps%2C146&amp;sr=8-10" TargetMode="External"/><Relationship Id="rId5" Type="http://schemas.openxmlformats.org/officeDocument/2006/relationships/hyperlink" Target="https://www.amazon.com/Greartisan-Electric-Reduction-Centric-Diameter/dp/B072R57C56/ref=sr_1_5?crid=1A0FK62I470ZI&amp;dib=eyJ2IjoiMSJ9.n8uJGkMnr4Kh8sD-n_JHp0iVcK1ON5Nc-JRtxH72hQWVOoMOjWkENwFX7h1ZLqi8toDa89avcobrDLc0GWA7_lSv4e0OYhpCC_hzYTCpIK1Uw0YJVO9OFmLWvmvEzFNg8PNBdsJGG0DJQ7qmZJ32NVx_-W2aj4pGe7wD9hqyKJC2ZlnKU1V08XDalVTrKV3LplMGrpnlkz_Z8dxxdnvuFx-WE72J_9fMzmB9tAAM48PKzJsRy6Uh79BCXsBlCShlHTEI5dAGvAtNdmQRWMigERbxi6EchFEeW8YzwWxHGKo.PdwCm_5wz4GpXb70i-l5rC5gk3XwGNLnRPAhMFnnFEg&amp;dib_tag=se&amp;keywords=100rpm%2B12v%2Bdc%2Bmotor&amp;qid=1785364453&amp;sprefix=100rpm%2B12v%2Bdc%2Bmotor%2Caps%2C147&amp;sr=8-5&amp;th=1" TargetMode="External"/><Relationship Id="rId15" Type="http://schemas.openxmlformats.org/officeDocument/2006/relationships/hyperlink" Target="https://www.amazon.com/Rindion-127PCS-Heat-Shrink-Tubing/dp/B0DYSV5Z9B/ref=sr_1_6?crid=YBP40CFQMZFF&amp;dib=eyJ2IjoiMSJ9.afAtOFc0AWv7IewHnY-SstNUkYltCexI6sedcYLBUGHK-Ytg_3YxNvf-GEmpxpPNkD_eCs7uAXau6d_v7WgmDLFWLbxpG_ILKj9nBZEf1vHuuDe9Dk0F_1U67EuIEa676gzrgc2aJ-981bpcdYaXEVIAyFeChM3_L4G_OkZNYno9nK0t20jPgZkMjLF-yMxl2Rlrm-vkMuH5mJHu0VlvbmYUJgUa29UIcsdap1TQvy8.mDKqkPEAfCnaKEi4k1zFZw8fOqEPn6hLXqrmCehZH-U&amp;dib_tag=se&amp;keywords=heat%2Bshrink%2Btubing&amp;qid=1785529617&amp;sprefix=heat%2Bshrink%2Btubin%2Caps%2C169&amp;sr=8-6&amp;th=1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../../D41BACD707AD7AB7/Rover%20Project/amazon.com/uxcell-Bearings-6x17x6mm-Appliances-Machinery/dp/B0FQ4Y3THY/ref=sr_1_15?crid=3NW028IDA95MR&amp;dib=eyJ2IjoiMSJ9._n0Q8e5ScCGfJtM-E3rWi8uVeZ0H3VM364BP7srhOG6QKvKGv9eLlZUZ8XmNd9MWopO4AYFwEytU1YrsyCYIMdISrGyCMW55sjdBxAqVXWtlG5-0DYHh3meM6QHsg-smuwPCTiiPtVnMNnoBUPvMi9-k3-iZljdhs2q1aAhfRgg5DYZNwtP7K0B1QJdzBqL7Y7FMbMwJ-_-NdurkEeMbrxs_nwRrvqZBz-gOmnsx9RM.v47NXN1UIUQ-gUN_tNHEdP2d7RmTfiNf0VX07vnv9hM&amp;dib_tag=se&amp;keywords=606-2rs+bearing&amp;qid=1785365202&amp;sprefix=606-2rs%2Caps%2C153&amp;sr=8-15" TargetMode="External"/><Relationship Id="rId19" Type="http://schemas.openxmlformats.org/officeDocument/2006/relationships/hyperlink" Target="https://www.amazon.com/M2-M2-5-M3-Threaded-Inserts/dp/B0FH4JQ3VB/ref=sr_1_4?crid=1348FM1PQFMJO&amp;dib=eyJ2IjoiMSJ9.2Qg9wG5pUbCP87FPpe42LtsnGYVJuCX_BUeZMDnlwUUe4JFf3hNcUBICkcJPGv6hgVSLJ0Uu025VmgG0pYlpMV99r8FzxCTY83F3WNo1JHE0yyzPy6Ug39mMUGqLc1k3lMsZlS4fr2ACfrnE2Z44NVnaRdI9ROJuLG0mU0Bips5xy4f2No7ndOzI8lX2VJ5ExVImRAaGtkkCAcvHQjq54zcY56x3ccpEpZR1rAvulzY._dCdVFmp1fzGgMvUBvgn5dB7j-tRP-IVwG3LbtB0bDw&amp;dib_tag=se&amp;keywords=heat%2Bset%2Binsert%2Bkit%2Bm3%2Bm5&amp;qid=1785530732&amp;sprefix=heat%2Bset%2Binsert%2Bkit%2Bm3%2Bm5%2Caps%2C218&amp;sr=8-4&amp;th=1" TargetMode="External"/><Relationship Id="rId4" Type="http://schemas.openxmlformats.org/officeDocument/2006/relationships/hyperlink" Target="https://www.amazon.com/Multi-Functional-ESP32-WROOM-32-Bluetooth-Communications-Compatible/dp/B0BZLHYBJL/ref=sr_1_2?crid=2X70I97140UVL&amp;dib=eyJ2IjoiMSJ9.Qyy5JpWZVMOQAArPpvWQb1AhzzfMAPLMIgsMUYPC83mh793Pu2iuxlsDr73dC-eEvAihRaoxWlQTaKoN1ffJHItiUypsE7zhgsDQBir2OVPWklsZlQ8yNga2u20Krc-0RlrBY_QiIJeslw7W6vIPyLah9GjKpbLXJRoLWDFNdnvpTjmCQdbDVQ4sih9uB5aO_ct0vCgJj7_Nj_xZzSFNeyusjApYTRTCCBafkMetzHs.KhaRM6i3_DAIpC6gJnnSmIOD6BadsKU0M5LF1ErKx2k&amp;dib_tag=se&amp;keywords=waveshare+general+robotics+driver&amp;qid=1785364271&amp;sprefix=waveshare+general+robotics+driver%2Caps%2C199&amp;sr=8-2" TargetMode="External"/><Relationship Id="rId9" Type="http://schemas.openxmlformats.org/officeDocument/2006/relationships/hyperlink" Target="https://www.amazon.com/uxcell-Stainless-Socket-Shoulder-Length/dp/B077GYB893/ref=sr_1_4?crid=3SWSDLGAZQRSV&amp;dib=eyJ2IjoiMSJ9.BlqrhVT8v5vgwCAgj9US2XYzWPB11PEo34YBW51nWgeSCMvGINDQN8OqN4yC7TjzHSBEX1EHPCUcwLgTKMPPxgfFo9sTos9VktGg7KzdiQ5mUL81Ke2o8_c0swLpN1ArcJ1CJ6u1WHd52ci3AxoSdwGjvTdDtwGeQeNB3XpiNn8V7O_Ou36m3PFcN64QRYubAqGoZIq3fA8WsYzg179GVMLKa9uN8SLFLwqVu0AfsgY.8E7sn3lkWU0KWrhWZBFrB6ST56e6Qee9xA6iG4hoLWA&amp;dib_tag=se&amp;keywords=M5%2B30mm%2Bshoulder%2Bscrew&amp;qid=1785365105&amp;sprefix=m5%2B30mm%2Bshoulder%2Bscrew%2Caps%2C175&amp;sr=8-4&amp;th=1" TargetMode="External"/><Relationship Id="rId14" Type="http://schemas.openxmlformats.org/officeDocument/2006/relationships/hyperlink" Target="https://www.amazon.com/Ledvillage-Female-Connector-Battery-Included/dp/B0DB1V6FFY/ref=sr_1_21?crid=1TOROUBNA2REL&amp;dib=eyJ2IjoiMSJ9.1_05cYqhlunQy40KkvlXPkoBBqZorWQ9LrArI12lTzBWuqArXDyzIxwvtodkiU3HgF8qHAh_m5j8-ChAJ244Rgbbr4HpILERi1a4y_K1K894mvV3sj2yh3i9OXUh6rNkctZdPln1bcZ6QUqeZaqqGXH_UibbQa_OftW9HaggviRJoL5ur8Bx3UUCQhUuHZEO9sgDnDqL1UgLfnEiOewMa9V4f30k_BTciNdsCzByZnfXYQcc_j_Bdj5268tGPBCo5q59SalLIVBnHs_bmm4OrG1M0XHZ84lja_4mWZeygug.GPzB4FM-H8__tmUxup0GzQdNxxvKpRVGNUVLW2Pso0o&amp;dib_tag=se&amp;keywords=xt60%2Bfemale%2Bconnector&amp;qid=1785527462&amp;sprefix=xt60%2Bfemale%2Bconnector%2Caps%2C142&amp;sr=8-21&amp;th=1" TargetMode="External"/><Relationship Id="rId22" Type="http://schemas.openxmlformats.org/officeDocument/2006/relationships/hyperlink" Target="https://www.amazon.com/SUNLU-TPU-Filament-1-75mm-Flexible/dp/B0FB95ZMCM/ref=sr_1_3?crid=3L2RNV5QOB72A&amp;dib=eyJ2IjoiMSJ9.FpCSwxR4TyJ78JqBztFgvC7bsvHn1ajr95MxkHjrn-9eDg12Imx_qu77kC0d2XiUSoaZGhmnEeEK3O88k7LMjzn3w-Mfk0XhWuuoh_i2ySkmdb5q3VhoNWgnSTKakSzgh_2bD-svvN_wTLBCOQLfFb4VUNguFfwEEK4Xk1tlZyWIH5RZr2kKgxlbI67WQ4kzRVLAbfrshtsHhnPH4rKxooT2WHiTHMXcR-oNrIzhYMY.Z8AOrSriaGhl3-oLEaTfj_LTmU-NPLT5YElGv9cH_30&amp;dib_tag=se&amp;keywords=tpu%2Bfilament&amp;qid=1785531097&amp;sprefix=tpufilament%2Caps%2C153&amp;sr=8-3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0A60-BDE3-4B9F-A7F7-22FB17289630}">
  <dimension ref="A1:G33"/>
  <sheetViews>
    <sheetView tabSelected="1" topLeftCell="A9" zoomScale="140" workbookViewId="0">
      <selection activeCell="E34" sqref="E34"/>
    </sheetView>
  </sheetViews>
  <sheetFormatPr defaultRowHeight="15" x14ac:dyDescent="0.25"/>
  <cols>
    <col min="1" max="1" width="22.5703125" customWidth="1"/>
    <col min="2" max="2" width="7.85546875" customWidth="1"/>
    <col min="3" max="3" width="11.42578125" style="9" customWidth="1"/>
    <col min="4" max="4" width="11.28515625" style="9" customWidth="1"/>
    <col min="5" max="5" width="16.140625" customWidth="1"/>
    <col min="6" max="6" width="15.85546875" customWidth="1"/>
    <col min="7" max="7" width="39" customWidth="1"/>
  </cols>
  <sheetData>
    <row r="1" spans="1:7" ht="26.25" x14ac:dyDescent="0.4">
      <c r="A1" s="5" t="s">
        <v>0</v>
      </c>
      <c r="B1" s="6"/>
      <c r="C1" s="6"/>
      <c r="D1" s="6"/>
    </row>
    <row r="2" spans="1:7" x14ac:dyDescent="0.25">
      <c r="A2" s="1" t="s">
        <v>1</v>
      </c>
      <c r="B2" s="7" t="s">
        <v>2</v>
      </c>
      <c r="C2" s="7"/>
      <c r="D2" s="8"/>
      <c r="E2" s="2">
        <v>46220</v>
      </c>
      <c r="F2" s="2"/>
    </row>
    <row r="3" spans="1:7" x14ac:dyDescent="0.25">
      <c r="A3" t="s">
        <v>3</v>
      </c>
      <c r="B3" t="s">
        <v>4</v>
      </c>
      <c r="C3" s="9" t="s">
        <v>34</v>
      </c>
      <c r="D3" s="9" t="s">
        <v>35</v>
      </c>
      <c r="E3" t="s">
        <v>13</v>
      </c>
      <c r="F3" t="s">
        <v>17</v>
      </c>
      <c r="G3" t="s">
        <v>8</v>
      </c>
    </row>
    <row r="4" spans="1:7" x14ac:dyDescent="0.25">
      <c r="A4" t="s">
        <v>14</v>
      </c>
      <c r="B4">
        <v>3</v>
      </c>
      <c r="C4" s="9">
        <v>19.989999999999998</v>
      </c>
      <c r="D4" s="9">
        <v>59.97</v>
      </c>
      <c r="E4" t="s">
        <v>16</v>
      </c>
      <c r="F4" s="4" t="s">
        <v>33</v>
      </c>
    </row>
    <row r="5" spans="1:7" x14ac:dyDescent="0.25">
      <c r="A5" t="s">
        <v>15</v>
      </c>
      <c r="B5">
        <v>1</v>
      </c>
      <c r="C5" s="9">
        <v>64.989999999999995</v>
      </c>
      <c r="D5" s="9">
        <v>64.989999999999995</v>
      </c>
      <c r="E5" t="s">
        <v>5</v>
      </c>
      <c r="F5" s="4" t="s">
        <v>32</v>
      </c>
    </row>
    <row r="6" spans="1:7" x14ac:dyDescent="0.25">
      <c r="A6" t="s">
        <v>11</v>
      </c>
      <c r="B6">
        <v>4</v>
      </c>
      <c r="C6" s="9" t="s">
        <v>19</v>
      </c>
      <c r="D6" s="9" t="s">
        <v>19</v>
      </c>
      <c r="E6" t="s">
        <v>19</v>
      </c>
      <c r="F6" t="s">
        <v>19</v>
      </c>
      <c r="G6" t="s">
        <v>10</v>
      </c>
    </row>
    <row r="7" spans="1:7" x14ac:dyDescent="0.25">
      <c r="A7" t="s">
        <v>12</v>
      </c>
      <c r="B7">
        <v>2</v>
      </c>
      <c r="C7" s="9" t="s">
        <v>19</v>
      </c>
      <c r="D7" s="9" t="s">
        <v>19</v>
      </c>
      <c r="E7" t="s">
        <v>19</v>
      </c>
      <c r="F7" t="s">
        <v>19</v>
      </c>
      <c r="G7" t="s">
        <v>10</v>
      </c>
    </row>
    <row r="8" spans="1:7" x14ac:dyDescent="0.25">
      <c r="A8" t="s">
        <v>24</v>
      </c>
      <c r="B8">
        <v>12</v>
      </c>
      <c r="C8" s="9" t="s">
        <v>19</v>
      </c>
      <c r="D8" s="9" t="s">
        <v>19</v>
      </c>
      <c r="E8" t="s">
        <v>19</v>
      </c>
      <c r="F8" t="s">
        <v>19</v>
      </c>
      <c r="G8" t="s">
        <v>10</v>
      </c>
    </row>
    <row r="9" spans="1:7" x14ac:dyDescent="0.25">
      <c r="A9" t="s">
        <v>20</v>
      </c>
      <c r="B9">
        <v>4</v>
      </c>
      <c r="C9" s="9" t="s">
        <v>19</v>
      </c>
      <c r="D9" s="9" t="s">
        <v>19</v>
      </c>
      <c r="E9" t="s">
        <v>19</v>
      </c>
      <c r="F9" t="s">
        <v>19</v>
      </c>
      <c r="G9" t="s">
        <v>10</v>
      </c>
    </row>
    <row r="10" spans="1:7" ht="28.5" customHeight="1" x14ac:dyDescent="0.25">
      <c r="A10" s="3" t="s">
        <v>6</v>
      </c>
      <c r="B10">
        <v>1</v>
      </c>
      <c r="C10" s="9">
        <v>27.99</v>
      </c>
      <c r="D10" s="9">
        <v>27.99</v>
      </c>
      <c r="E10" t="s">
        <v>7</v>
      </c>
      <c r="F10" s="4" t="s">
        <v>37</v>
      </c>
    </row>
    <row r="11" spans="1:7" ht="14.45" customHeight="1" x14ac:dyDescent="0.25">
      <c r="A11" s="3" t="s">
        <v>18</v>
      </c>
      <c r="B11">
        <v>4</v>
      </c>
      <c r="C11" s="9" t="s">
        <v>19</v>
      </c>
      <c r="D11" s="9">
        <v>5.69</v>
      </c>
      <c r="E11" t="s">
        <v>7</v>
      </c>
      <c r="F11" s="4" t="s">
        <v>52</v>
      </c>
    </row>
    <row r="12" spans="1:7" ht="14.45" customHeight="1" x14ac:dyDescent="0.25">
      <c r="A12" s="3" t="s">
        <v>9</v>
      </c>
      <c r="B12">
        <v>2</v>
      </c>
      <c r="C12" s="9">
        <v>14.99</v>
      </c>
      <c r="D12" s="9">
        <v>29.98</v>
      </c>
      <c r="E12" t="s">
        <v>7</v>
      </c>
      <c r="F12" s="4" t="s">
        <v>38</v>
      </c>
    </row>
    <row r="13" spans="1:7" ht="29.1" customHeight="1" x14ac:dyDescent="0.25">
      <c r="A13" s="3" t="s">
        <v>22</v>
      </c>
      <c r="B13">
        <v>1</v>
      </c>
      <c r="C13" s="9">
        <v>16.989999999999998</v>
      </c>
      <c r="D13" s="9">
        <v>16.989999999999998</v>
      </c>
      <c r="E13" t="s">
        <v>7</v>
      </c>
      <c r="F13" s="4" t="s">
        <v>39</v>
      </c>
    </row>
    <row r="14" spans="1:7" ht="14.45" customHeight="1" x14ac:dyDescent="0.25">
      <c r="A14" s="3" t="s">
        <v>23</v>
      </c>
      <c r="B14">
        <v>1</v>
      </c>
      <c r="C14" s="9" t="s">
        <v>19</v>
      </c>
      <c r="D14" s="9">
        <v>4.8899999999999997</v>
      </c>
      <c r="E14" t="s">
        <v>7</v>
      </c>
      <c r="F14" s="4" t="s">
        <v>53</v>
      </c>
    </row>
    <row r="15" spans="1:7" ht="30" x14ac:dyDescent="0.25">
      <c r="A15" s="3" t="s">
        <v>41</v>
      </c>
      <c r="B15">
        <v>1</v>
      </c>
      <c r="C15" s="9" t="s">
        <v>19</v>
      </c>
      <c r="D15" s="9">
        <v>9</v>
      </c>
      <c r="E15" t="s">
        <v>7</v>
      </c>
      <c r="F15" s="4" t="s">
        <v>40</v>
      </c>
    </row>
    <row r="16" spans="1:7" ht="30" x14ac:dyDescent="0.25">
      <c r="A16" s="3" t="s">
        <v>43</v>
      </c>
      <c r="B16">
        <v>4</v>
      </c>
      <c r="C16" s="9" t="s">
        <v>19</v>
      </c>
      <c r="D16" s="9">
        <v>5.99</v>
      </c>
      <c r="E16" t="s">
        <v>7</v>
      </c>
      <c r="F16" s="4" t="s">
        <v>44</v>
      </c>
    </row>
    <row r="17" spans="1:7" ht="30" x14ac:dyDescent="0.25">
      <c r="A17" s="3" t="s">
        <v>59</v>
      </c>
      <c r="B17">
        <v>10</v>
      </c>
      <c r="C17" s="9" t="s">
        <v>19</v>
      </c>
      <c r="D17" s="9">
        <v>4.99</v>
      </c>
      <c r="E17" t="s">
        <v>7</v>
      </c>
      <c r="F17" s="4" t="s">
        <v>54</v>
      </c>
      <c r="G17" t="s">
        <v>60</v>
      </c>
    </row>
    <row r="18" spans="1:7" ht="30" x14ac:dyDescent="0.25">
      <c r="A18" s="3" t="s">
        <v>21</v>
      </c>
      <c r="B18">
        <v>2</v>
      </c>
      <c r="C18" s="9" t="s">
        <v>19</v>
      </c>
      <c r="D18" s="9">
        <v>7.99</v>
      </c>
      <c r="E18" t="s">
        <v>7</v>
      </c>
      <c r="F18" s="4" t="s">
        <v>45</v>
      </c>
    </row>
    <row r="19" spans="1:7" ht="30" x14ac:dyDescent="0.25">
      <c r="A19" s="3" t="s">
        <v>47</v>
      </c>
      <c r="B19">
        <v>5</v>
      </c>
      <c r="C19" s="9" t="s">
        <v>19</v>
      </c>
      <c r="D19" s="9">
        <v>6.49</v>
      </c>
      <c r="E19" t="s">
        <v>7</v>
      </c>
      <c r="F19" s="4" t="s">
        <v>46</v>
      </c>
    </row>
    <row r="20" spans="1:7" x14ac:dyDescent="0.25">
      <c r="A20" s="3" t="s">
        <v>55</v>
      </c>
      <c r="B20">
        <v>4</v>
      </c>
      <c r="C20" s="9" t="s">
        <v>19</v>
      </c>
      <c r="D20" s="9">
        <v>3.99</v>
      </c>
      <c r="E20" t="s">
        <v>7</v>
      </c>
      <c r="F20" s="4" t="s">
        <v>56</v>
      </c>
    </row>
    <row r="21" spans="1:7" x14ac:dyDescent="0.25">
      <c r="A21" s="3" t="s">
        <v>48</v>
      </c>
      <c r="B21">
        <v>2</v>
      </c>
      <c r="C21" s="9" t="s">
        <v>19</v>
      </c>
      <c r="D21" s="9">
        <v>5.99</v>
      </c>
      <c r="E21" t="s">
        <v>7</v>
      </c>
      <c r="F21" s="4" t="s">
        <v>49</v>
      </c>
    </row>
    <row r="22" spans="1:7" x14ac:dyDescent="0.25">
      <c r="A22" s="3" t="s">
        <v>50</v>
      </c>
      <c r="B22">
        <v>1</v>
      </c>
      <c r="C22" s="9" t="s">
        <v>19</v>
      </c>
      <c r="D22" s="9">
        <v>6.99</v>
      </c>
      <c r="E22" t="s">
        <v>7</v>
      </c>
      <c r="F22" s="4" t="s">
        <v>51</v>
      </c>
    </row>
    <row r="23" spans="1:7" x14ac:dyDescent="0.25">
      <c r="A23" t="s">
        <v>27</v>
      </c>
      <c r="B23">
        <v>31</v>
      </c>
      <c r="C23" s="9" t="s">
        <v>19</v>
      </c>
      <c r="D23" s="9">
        <v>9.99</v>
      </c>
      <c r="E23" t="s">
        <v>7</v>
      </c>
      <c r="F23" s="4" t="s">
        <v>31</v>
      </c>
      <c r="G23" t="s">
        <v>42</v>
      </c>
    </row>
    <row r="24" spans="1:7" ht="30" x14ac:dyDescent="0.25">
      <c r="A24" s="3" t="s">
        <v>28</v>
      </c>
      <c r="B24">
        <v>27</v>
      </c>
      <c r="C24" s="9" t="s">
        <v>19</v>
      </c>
      <c r="E24" t="s">
        <v>7</v>
      </c>
      <c r="F24" s="4" t="s">
        <v>31</v>
      </c>
      <c r="G24" t="s">
        <v>61</v>
      </c>
    </row>
    <row r="25" spans="1:7" ht="30" x14ac:dyDescent="0.25">
      <c r="A25" s="3" t="s">
        <v>30</v>
      </c>
      <c r="B25">
        <v>1</v>
      </c>
      <c r="C25" s="9" t="s">
        <v>19</v>
      </c>
      <c r="E25" t="s">
        <v>7</v>
      </c>
      <c r="F25" s="4" t="s">
        <v>31</v>
      </c>
      <c r="G25" t="s">
        <v>61</v>
      </c>
    </row>
    <row r="26" spans="1:7" ht="30" x14ac:dyDescent="0.25">
      <c r="A26" s="3" t="s">
        <v>29</v>
      </c>
      <c r="B26">
        <v>4</v>
      </c>
      <c r="C26" s="9" t="s">
        <v>19</v>
      </c>
      <c r="E26" t="s">
        <v>7</v>
      </c>
      <c r="F26" s="4" t="s">
        <v>31</v>
      </c>
      <c r="G26" t="s">
        <v>61</v>
      </c>
    </row>
    <row r="27" spans="1:7" ht="14.1" customHeight="1" x14ac:dyDescent="0.25">
      <c r="A27" s="3" t="s">
        <v>25</v>
      </c>
      <c r="B27">
        <v>25</v>
      </c>
      <c r="C27" s="9" t="s">
        <v>19</v>
      </c>
      <c r="E27" t="s">
        <v>7</v>
      </c>
      <c r="F27" s="4" t="s">
        <v>31</v>
      </c>
      <c r="G27" t="s">
        <v>61</v>
      </c>
    </row>
    <row r="28" spans="1:7" ht="14.1" customHeight="1" x14ac:dyDescent="0.25">
      <c r="A28" s="3" t="s">
        <v>26</v>
      </c>
      <c r="B28">
        <v>2</v>
      </c>
      <c r="C28" s="9" t="s">
        <v>19</v>
      </c>
      <c r="D28" s="9">
        <v>8.99</v>
      </c>
      <c r="E28" t="s">
        <v>7</v>
      </c>
      <c r="F28" s="4" t="s">
        <v>63</v>
      </c>
      <c r="G28" t="s">
        <v>64</v>
      </c>
    </row>
    <row r="29" spans="1:7" ht="15.6" customHeight="1" x14ac:dyDescent="0.25">
      <c r="A29" s="3" t="s">
        <v>62</v>
      </c>
      <c r="B29">
        <v>23</v>
      </c>
      <c r="C29" s="9" t="s">
        <v>19</v>
      </c>
      <c r="E29" t="s">
        <v>7</v>
      </c>
      <c r="F29" s="4" t="s">
        <v>63</v>
      </c>
      <c r="G29" t="s">
        <v>65</v>
      </c>
    </row>
    <row r="30" spans="1:7" ht="31.5" customHeight="1" x14ac:dyDescent="0.25">
      <c r="A30" s="3" t="s">
        <v>67</v>
      </c>
      <c r="B30" t="s">
        <v>68</v>
      </c>
      <c r="C30" s="9">
        <v>15.29</v>
      </c>
      <c r="D30" s="9">
        <v>15.29</v>
      </c>
      <c r="E30" t="s">
        <v>7</v>
      </c>
      <c r="F30" s="4" t="s">
        <v>69</v>
      </c>
    </row>
    <row r="31" spans="1:7" ht="30" customHeight="1" x14ac:dyDescent="0.25">
      <c r="A31" s="3" t="s">
        <v>70</v>
      </c>
      <c r="B31" t="s">
        <v>72</v>
      </c>
      <c r="C31" s="9">
        <v>24.99</v>
      </c>
      <c r="D31" s="9">
        <v>24.99</v>
      </c>
      <c r="E31" t="s">
        <v>7</v>
      </c>
      <c r="F31" s="4" t="s">
        <v>71</v>
      </c>
    </row>
    <row r="32" spans="1:7" x14ac:dyDescent="0.25">
      <c r="A32" s="3" t="s">
        <v>57</v>
      </c>
      <c r="B32">
        <v>2</v>
      </c>
      <c r="C32" s="9" t="s">
        <v>19</v>
      </c>
      <c r="D32" s="9">
        <v>8.9600000000000009</v>
      </c>
      <c r="E32" t="s">
        <v>7</v>
      </c>
      <c r="F32" s="4" t="s">
        <v>58</v>
      </c>
      <c r="G32" t="s">
        <v>66</v>
      </c>
    </row>
    <row r="33" spans="3:4" x14ac:dyDescent="0.25">
      <c r="C33" s="9" t="s">
        <v>36</v>
      </c>
      <c r="D33" s="10">
        <f>SUM(D4:D32)</f>
        <v>330.15000000000003</v>
      </c>
    </row>
  </sheetData>
  <mergeCells count="2">
    <mergeCell ref="A1:D1"/>
    <mergeCell ref="B2:D2"/>
  </mergeCells>
  <hyperlinks>
    <hyperlink ref="F23" r:id="rId1" xr:uid="{99582A16-8858-4E21-B4AA-3F78050DC6A8}"/>
    <hyperlink ref="F5" r:id="rId2" xr:uid="{2ACDD2BD-9E79-4765-B741-6D7EB0FD5164}"/>
    <hyperlink ref="F4" r:id="rId3" xr:uid="{8F4A0C61-C745-4000-88F5-D0BEBDCC6CB7}"/>
    <hyperlink ref="F10" r:id="rId4" xr:uid="{60EF2183-5D3C-4D35-A411-623CAC3BCAEE}"/>
    <hyperlink ref="F12" r:id="rId5" xr:uid="{55E32E14-FFDE-489C-8A2E-4D09AE999949}"/>
    <hyperlink ref="F13" r:id="rId6" xr:uid="{D0CAE124-8D3C-4941-8496-3AE15870BDB6}"/>
    <hyperlink ref="F15" r:id="rId7" xr:uid="{97184014-5205-4375-92AE-6A0C1BE80903}"/>
    <hyperlink ref="F16" r:id="rId8" xr:uid="{2FC5D2C4-B945-4A41-B97E-C28ADA263031}"/>
    <hyperlink ref="F18" r:id="rId9" xr:uid="{234D7551-0719-4968-ADE8-2587C53D5F6C}"/>
    <hyperlink ref="F19" r:id="rId10" xr:uid="{1E415E3D-8DEA-402B-A1AB-033AE957CE1E}"/>
    <hyperlink ref="F21" r:id="rId11" xr:uid="{BB04005A-F587-4510-8FB8-3204A7B1CA48}"/>
    <hyperlink ref="F22" r:id="rId12" xr:uid="{4CCA26F9-DE9A-44D2-853E-47A32A4885A8}"/>
    <hyperlink ref="F11" r:id="rId13" xr:uid="{CFCD4D11-898C-4FA0-B6BC-463E2A099E02}"/>
    <hyperlink ref="F14" r:id="rId14" xr:uid="{99516574-FABE-46C1-B24A-8C5B9433AFB4}"/>
    <hyperlink ref="F17" r:id="rId15" xr:uid="{5188E6ED-A642-437C-A181-C4F5A469C9B5}"/>
    <hyperlink ref="F20" r:id="rId16" xr:uid="{DDDEB16A-F3FC-45AD-869E-A5FC3C29AB49}"/>
    <hyperlink ref="F32" r:id="rId17" xr:uid="{13CABC99-780D-44B6-AFEF-25D2DD704289}"/>
    <hyperlink ref="F24:F27" r:id="rId18" display="Fgruh M3 Kit" xr:uid="{835FEEDC-EDA7-45C5-B042-BAC072DFF883}"/>
    <hyperlink ref="F28" r:id="rId19" xr:uid="{04610784-80ED-4F2E-9332-5B1A7316EE93}"/>
    <hyperlink ref="F29" r:id="rId20" xr:uid="{C6B9744A-991D-4BC7-ADF7-C0AF7927642E}"/>
    <hyperlink ref="F30" r:id="rId21" xr:uid="{3D123D1E-EE0F-4407-992F-29680C62C090}"/>
    <hyperlink ref="F31" r:id="rId22" xr:uid="{8C7D70EF-A397-4ACA-B985-D846F4F4030C}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Campbell</dc:creator>
  <cp:lastModifiedBy>Aidan Campbell</cp:lastModifiedBy>
  <dcterms:created xsi:type="dcterms:W3CDTF">2026-07-17T22:01:29Z</dcterms:created>
  <dcterms:modified xsi:type="dcterms:W3CDTF">2026-07-31T21:20:47Z</dcterms:modified>
</cp:coreProperties>
</file>